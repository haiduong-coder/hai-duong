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Legend_Key" sheetId="2" r:id="rId6"/>
    <sheet state="visible" name="Inputs" sheetId="3" r:id="rId7"/>
    <sheet state="visible" name="Hedge_Calculations" sheetId="4" r:id="rId8"/>
    <sheet state="visible" name="Sensitivity_Analysis" sheetId="5" r:id="rId9"/>
    <sheet state="visible" name="Validation_Checks" sheetId="6" r:id="rId10"/>
  </sheets>
  <definedNames>
    <definedName name="FC_AMT">Inputs!$C$4</definedName>
    <definedName name="R_USD">Inputs!$C$7</definedName>
    <definedName name="PREM_PUT">Inputs!$C$11</definedName>
    <definedName name="K_CALL">Inputs!$C$10</definedName>
    <definedName name="S0_in">Inputs!$C$5</definedName>
    <definedName name="PREM_CALL">Inputs!$C$12</definedName>
    <definedName name="R_FC">Inputs!$C$8</definedName>
    <definedName name="K_PUT">Inputs!$C$9</definedName>
    <definedName name="T_DAYS">Inputs!$C$13</definedName>
    <definedName name="F0_in">Inputs!$C$6</definedName>
  </definedNames>
  <calcPr/>
</workbook>
</file>

<file path=xl/sharedStrings.xml><?xml version="1.0" encoding="utf-8"?>
<sst xmlns="http://schemas.openxmlformats.org/spreadsheetml/2006/main" count="97" uniqueCount="86">
  <si>
    <t>FX Hedging Financial Model</t>
  </si>
  <si>
    <t>Model Color Legend &amp; Coding Standards</t>
  </si>
  <si>
    <t>Model Inputs &amp; Named Range Contract</t>
  </si>
  <si>
    <t>Scenario:</t>
  </si>
  <si>
    <t>Color Coding</t>
  </si>
  <si>
    <t>Named Range</t>
  </si>
  <si>
    <t>EUR 4.5M Receivable (1 Year)</t>
  </si>
  <si>
    <t>Hedge Strategy Calculations</t>
  </si>
  <si>
    <t>Author:</t>
  </si>
  <si>
    <t>Hai Duong</t>
  </si>
  <si>
    <t>Date:</t>
  </si>
  <si>
    <t>Strategy / Metric</t>
  </si>
  <si>
    <t>Capability:</t>
  </si>
  <si>
    <t>Description</t>
  </si>
  <si>
    <t>fx-hedging</t>
  </si>
  <si>
    <t>Status:</t>
  </si>
  <si>
    <t>Formula Result (USD)</t>
  </si>
  <si>
    <t>Stage 3 - Built &amp; Audited</t>
  </si>
  <si>
    <t>Yellow Fill</t>
  </si>
  <si>
    <t>Data Provenance:</t>
  </si>
  <si>
    <t>Indicative market placeholders (To be populated with live data in Stage 4)</t>
  </si>
  <si>
    <t>Unhedged Baseline Proceeds</t>
  </si>
  <si>
    <t>Placeholder Value</t>
  </si>
  <si>
    <t>Unit</t>
  </si>
  <si>
    <t>Stage 4 Data Source</t>
  </si>
  <si>
    <t>Hardcoded Inputs (Editable)</t>
  </si>
  <si>
    <t>FC_AMT</t>
  </si>
  <si>
    <t>Blue Fill</t>
  </si>
  <si>
    <t>Foreign-currency receivable</t>
  </si>
  <si>
    <t>Model Assumptions &amp; Parameters</t>
  </si>
  <si>
    <t>Green Fill</t>
  </si>
  <si>
    <t>Formula-Driven Calculations</t>
  </si>
  <si>
    <t>EUR</t>
  </si>
  <si>
    <t>Invoice / Contract</t>
  </si>
  <si>
    <t>Gray Fill</t>
  </si>
  <si>
    <t>S0_in</t>
  </si>
  <si>
    <t>Spot exchange rate at inception</t>
  </si>
  <si>
    <t>Key Summary Outputs</t>
  </si>
  <si>
    <t>USD per EUR</t>
  </si>
  <si>
    <t>Live Spot FX Rate</t>
  </si>
  <si>
    <t>F0_in</t>
  </si>
  <si>
    <t>1-Year Forward exchange rate</t>
  </si>
  <si>
    <t>Bank Forward Rate</t>
  </si>
  <si>
    <t>R_USD</t>
  </si>
  <si>
    <t>USD interest rate</t>
  </si>
  <si>
    <t>Annual %</t>
  </si>
  <si>
    <t>Fed H.15 Yield</t>
  </si>
  <si>
    <t>R_FC</t>
  </si>
  <si>
    <t>EUR interest rate</t>
  </si>
  <si>
    <t>ECB €STR Rate</t>
  </si>
  <si>
    <t>K_PUT</t>
  </si>
  <si>
    <t>Put option strike price</t>
  </si>
  <si>
    <t>Option Desk Quote</t>
  </si>
  <si>
    <t>K_CALL</t>
  </si>
  <si>
    <t>Call option strike price</t>
  </si>
  <si>
    <t>PREM_PUT</t>
  </si>
  <si>
    <t>Put option premium per unit</t>
  </si>
  <si>
    <t>PREM_CALL</t>
  </si>
  <si>
    <t>Call option premium per unit</t>
  </si>
  <si>
    <t>T_DAYS</t>
  </si>
  <si>
    <t>Days to settlement</t>
  </si>
  <si>
    <t>Days</t>
  </si>
  <si>
    <t>Contract Term</t>
  </si>
  <si>
    <t>Forward Hedge Proceeds</t>
  </si>
  <si>
    <t>MM Step 1: Foreign Currency Borrowed</t>
  </si>
  <si>
    <t>MM Step 2: USD Converted at Spot</t>
  </si>
  <si>
    <t>MM Step 3: Final USD Proceeds</t>
  </si>
  <si>
    <t>Option Gross Proceeds</t>
  </si>
  <si>
    <t>Option Total Premium Paid</t>
  </si>
  <si>
    <t>Option Net Proceeds</t>
  </si>
  <si>
    <t>Workbook Audit &amp; Validation Checks</t>
  </si>
  <si>
    <t>Check Item</t>
  </si>
  <si>
    <t>Sensitivity Analysis (-5% to +5% Spot Move)</t>
  </si>
  <si>
    <t>Value / Formula</t>
  </si>
  <si>
    <t>Status</t>
  </si>
  <si>
    <t>Covered Interest Parity Implied Forward</t>
  </si>
  <si>
    <t>Spot Scenario (% S0)</t>
  </si>
  <si>
    <t>Settlement Spot (S_T)</t>
  </si>
  <si>
    <t>Unhedged Proceeds</t>
  </si>
  <si>
    <t>Forward Proceeds</t>
  </si>
  <si>
    <t>MM Hedge Proceeds</t>
  </si>
  <si>
    <t>Calculated Implied Forward</t>
  </si>
  <si>
    <t>Forward vs MM Variance</t>
  </si>
  <si>
    <t>USD Variance</t>
  </si>
  <si>
    <t>Parity Audit Status</t>
  </si>
  <si>
    <t>Audit Pass/Fail 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</si>
</sst>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$#,##0"/>
    <numFmt numFmtId="166" formatCode="$#,##0.0000"/>
    <numFmt numFmtId="167" formatCode="0.0%"/>
    <numFmt numFmtId="168" formatCode="$#,##0.00"/>
  </numFmts>
  <fonts count="6">
    <font>
      <sz val="10.0"/>
      <color rgb="FF000000"/>
      <name val="Arial"/>
      <scheme val="minor"/>
    </font>
    <font>
      <b/>
      <sz val="16.0"/>
      <color rgb="FF1F4E78"/>
      <name val="Arial"/>
      <scheme val="minor"/>
    </font>
    <font>
      <b/>
      <sz val="14.0"/>
      <color rgb="FF1F4E78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readingOrder="0"/>
    </xf>
    <xf borderId="0" fillId="0" fontId="4" numFmtId="164" xfId="0" applyAlignment="1" applyFont="1" applyNumberFormat="1">
      <alignment readingOrder="0"/>
    </xf>
    <xf borderId="0" fillId="3" fontId="3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3" fontId="3" numFmtId="165" xfId="0" applyAlignment="1" applyFill="1" applyFont="1" applyNumberFormat="1">
      <alignment readingOrder="0"/>
    </xf>
    <xf borderId="0" fillId="5" fontId="3" numFmtId="0" xfId="0" applyAlignment="1" applyFill="1" applyFont="1">
      <alignment readingOrder="0"/>
    </xf>
    <xf borderId="0" fillId="6" fontId="3" numFmtId="0" xfId="0" applyAlignment="1" applyFill="1" applyFont="1">
      <alignment readingOrder="0"/>
    </xf>
    <xf borderId="0" fillId="3" fontId="3" numFmtId="166" xfId="0" applyAlignment="1" applyFill="1" applyFont="1" applyNumberFormat="1">
      <alignment readingOrder="0"/>
    </xf>
    <xf borderId="0" fillId="3" fontId="3" numFmtId="10" xfId="0" applyAlignment="1" applyFill="1" applyFont="1" applyNumberFormat="1">
      <alignment readingOrder="0"/>
    </xf>
    <xf borderId="0" fillId="3" fontId="3" numFmtId="1" xfId="0" applyAlignment="1" applyFill="1" applyFont="1" applyNumberFormat="1">
      <alignment readingOrder="0"/>
    </xf>
    <xf borderId="0" fillId="5" fontId="4" numFmtId="165" xfId="0" applyFill="1" applyFont="1" applyNumberFormat="1"/>
    <xf borderId="0" fillId="0" fontId="4" numFmtId="167" xfId="0" applyAlignment="1" applyFont="1" applyNumberFormat="1">
      <alignment readingOrder="0"/>
    </xf>
    <xf borderId="0" fillId="5" fontId="4" numFmtId="166" xfId="0" applyFill="1" applyFont="1" applyNumberFormat="1"/>
    <xf borderId="0" fillId="0" fontId="4" numFmtId="166" xfId="0" applyFont="1" applyNumberFormat="1"/>
    <xf borderId="0" fillId="5" fontId="4" numFmtId="168" xfId="0" applyFill="1" applyFont="1" applyNumberFormat="1"/>
    <xf borderId="0" fillId="6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53.63"/>
  </cols>
  <sheetData>
    <row r="1">
      <c r="A1" s="1" t="s">
        <v>0</v>
      </c>
    </row>
    <row r="3">
      <c r="A3" s="3" t="s">
        <v>3</v>
      </c>
      <c r="B3" s="4" t="s">
        <v>6</v>
      </c>
    </row>
    <row r="4">
      <c r="A4" s="3" t="s">
        <v>8</v>
      </c>
      <c r="B4" s="4" t="s">
        <v>9</v>
      </c>
    </row>
    <row r="5">
      <c r="A5" s="3" t="s">
        <v>10</v>
      </c>
      <c r="B5" s="6">
        <v>46310.0</v>
      </c>
    </row>
    <row r="6">
      <c r="A6" s="3" t="s">
        <v>12</v>
      </c>
      <c r="B6" s="4" t="s">
        <v>14</v>
      </c>
    </row>
    <row r="7">
      <c r="A7" s="3" t="s">
        <v>15</v>
      </c>
      <c r="B7" s="4" t="s">
        <v>17</v>
      </c>
    </row>
    <row r="8">
      <c r="A8" s="3" t="s">
        <v>19</v>
      </c>
      <c r="B8" s="4" t="s"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38"/>
    <col customWidth="1" min="2" max="2" width="25.63"/>
  </cols>
  <sheetData>
    <row r="1">
      <c r="A1" s="2" t="s">
        <v>1</v>
      </c>
    </row>
    <row r="3">
      <c r="A3" s="5" t="s">
        <v>4</v>
      </c>
      <c r="B3" s="5" t="s">
        <v>13</v>
      </c>
    </row>
    <row r="4">
      <c r="A4" s="7" t="s">
        <v>18</v>
      </c>
      <c r="B4" s="4" t="s">
        <v>25</v>
      </c>
    </row>
    <row r="5">
      <c r="A5" s="8" t="s">
        <v>27</v>
      </c>
      <c r="B5" s="4" t="s">
        <v>29</v>
      </c>
    </row>
    <row r="6">
      <c r="A6" s="10" t="s">
        <v>30</v>
      </c>
      <c r="B6" s="4" t="s">
        <v>31</v>
      </c>
    </row>
    <row r="7">
      <c r="A7" s="11" t="s">
        <v>34</v>
      </c>
      <c r="B7" s="4" t="s">
        <v>37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63"/>
    <col customWidth="1" min="2" max="2" width="23.75"/>
    <col customWidth="1" min="3" max="3" width="14.13"/>
    <col customWidth="1" min="4" max="4" width="10.13"/>
    <col customWidth="1" min="5" max="5" width="15.75"/>
  </cols>
  <sheetData>
    <row r="1">
      <c r="A1" s="2" t="s">
        <v>2</v>
      </c>
    </row>
    <row r="3">
      <c r="A3" s="5" t="s">
        <v>5</v>
      </c>
      <c r="B3" s="5" t="s">
        <v>13</v>
      </c>
      <c r="C3" s="5" t="s">
        <v>22</v>
      </c>
      <c r="D3" s="5" t="s">
        <v>23</v>
      </c>
      <c r="E3" s="5" t="s">
        <v>24</v>
      </c>
    </row>
    <row r="4">
      <c r="A4" s="3" t="s">
        <v>26</v>
      </c>
      <c r="B4" s="4" t="s">
        <v>28</v>
      </c>
      <c r="C4" s="9">
        <v>4500000.0</v>
      </c>
      <c r="D4" s="4" t="s">
        <v>32</v>
      </c>
      <c r="E4" s="4" t="s">
        <v>33</v>
      </c>
    </row>
    <row r="5">
      <c r="A5" s="3" t="s">
        <v>35</v>
      </c>
      <c r="B5" s="4" t="s">
        <v>36</v>
      </c>
      <c r="C5" s="12">
        <v>1.085</v>
      </c>
      <c r="D5" s="4" t="s">
        <v>38</v>
      </c>
      <c r="E5" s="4" t="s">
        <v>39</v>
      </c>
    </row>
    <row r="6">
      <c r="A6" s="3" t="s">
        <v>40</v>
      </c>
      <c r="B6" s="4" t="s">
        <v>41</v>
      </c>
      <c r="C6" s="12">
        <v>1.100745</v>
      </c>
      <c r="D6" s="4" t="s">
        <v>38</v>
      </c>
      <c r="E6" s="4" t="s">
        <v>42</v>
      </c>
    </row>
    <row r="7">
      <c r="A7" s="3" t="s">
        <v>43</v>
      </c>
      <c r="B7" s="4" t="s">
        <v>44</v>
      </c>
      <c r="C7" s="13">
        <v>0.0475</v>
      </c>
      <c r="D7" s="4" t="s">
        <v>45</v>
      </c>
      <c r="E7" s="4" t="s">
        <v>46</v>
      </c>
    </row>
    <row r="8">
      <c r="A8" s="3" t="s">
        <v>47</v>
      </c>
      <c r="B8" s="4" t="s">
        <v>48</v>
      </c>
      <c r="C8" s="13">
        <v>0.0325</v>
      </c>
      <c r="D8" s="4" t="s">
        <v>45</v>
      </c>
      <c r="E8" s="4" t="s">
        <v>49</v>
      </c>
    </row>
    <row r="9">
      <c r="A9" s="3" t="s">
        <v>50</v>
      </c>
      <c r="B9" s="4" t="s">
        <v>51</v>
      </c>
      <c r="C9" s="12">
        <v>1.085</v>
      </c>
      <c r="D9" s="4" t="s">
        <v>38</v>
      </c>
      <c r="E9" s="4" t="s">
        <v>52</v>
      </c>
    </row>
    <row r="10">
      <c r="A10" s="3" t="s">
        <v>53</v>
      </c>
      <c r="B10" s="4" t="s">
        <v>54</v>
      </c>
      <c r="C10" s="12">
        <v>1.085</v>
      </c>
      <c r="D10" s="4" t="s">
        <v>38</v>
      </c>
      <c r="E10" s="4" t="s">
        <v>52</v>
      </c>
    </row>
    <row r="11">
      <c r="A11" s="3" t="s">
        <v>55</v>
      </c>
      <c r="B11" s="4" t="s">
        <v>56</v>
      </c>
      <c r="C11" s="12">
        <v>0.025</v>
      </c>
      <c r="D11" s="4" t="s">
        <v>38</v>
      </c>
      <c r="E11" s="4" t="s">
        <v>52</v>
      </c>
    </row>
    <row r="12">
      <c r="A12" s="3" t="s">
        <v>57</v>
      </c>
      <c r="B12" s="4" t="s">
        <v>58</v>
      </c>
      <c r="C12" s="12">
        <v>0.025</v>
      </c>
      <c r="D12" s="4" t="s">
        <v>38</v>
      </c>
      <c r="E12" s="4" t="s">
        <v>52</v>
      </c>
    </row>
    <row r="13">
      <c r="A13" s="3" t="s">
        <v>59</v>
      </c>
      <c r="B13" s="4" t="s">
        <v>60</v>
      </c>
      <c r="C13" s="14">
        <v>360.0</v>
      </c>
      <c r="D13" s="4" t="s">
        <v>61</v>
      </c>
      <c r="E13" s="4" t="s">
        <v>62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16.63"/>
  </cols>
  <sheetData>
    <row r="1">
      <c r="A1" s="2" t="s">
        <v>7</v>
      </c>
    </row>
    <row r="3">
      <c r="A3" s="5" t="s">
        <v>11</v>
      </c>
      <c r="B3" s="5" t="s">
        <v>16</v>
      </c>
    </row>
    <row r="4">
      <c r="A4" s="3" t="s">
        <v>21</v>
      </c>
      <c r="B4" s="15">
        <f>FC_AMT*S0_in</f>
        <v>4882500</v>
      </c>
    </row>
    <row r="5">
      <c r="A5" s="3" t="s">
        <v>63</v>
      </c>
      <c r="B5" s="15">
        <f>FC_AMT*F0_in</f>
        <v>4953352.5</v>
      </c>
    </row>
    <row r="6">
      <c r="A6" s="3" t="s">
        <v>64</v>
      </c>
      <c r="B6" s="15">
        <f>FC_AMT/(1+R_FC*T_DAYS/360)</f>
        <v>4358353.511</v>
      </c>
    </row>
    <row r="7">
      <c r="A7" s="3" t="s">
        <v>65</v>
      </c>
      <c r="B7" s="15">
        <f>B6*S0_in</f>
        <v>4728813.559</v>
      </c>
    </row>
    <row r="8">
      <c r="A8" s="3" t="s">
        <v>66</v>
      </c>
      <c r="B8" s="15">
        <f>B7*(1+R_USD*T_DAYS/360)</f>
        <v>4953432.203</v>
      </c>
    </row>
    <row r="9">
      <c r="A9" s="3" t="s">
        <v>67</v>
      </c>
      <c r="B9" s="15">
        <f>FC_AMT*MAX(S0_in, K_PUT)</f>
        <v>4882500</v>
      </c>
    </row>
    <row r="10">
      <c r="A10" s="3" t="s">
        <v>68</v>
      </c>
      <c r="B10" s="15">
        <f>FC_AMT*PREM_PUT</f>
        <v>112500</v>
      </c>
    </row>
    <row r="11">
      <c r="A11" s="3" t="s">
        <v>69</v>
      </c>
      <c r="B11" s="15">
        <f>B9-B10</f>
        <v>4770000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75"/>
    <col customWidth="1" min="2" max="2" width="17.0"/>
    <col customWidth="1" min="3" max="3" width="15.63"/>
    <col customWidth="1" min="4" max="4" width="14.13"/>
    <col customWidth="1" min="5" max="5" width="16.25"/>
    <col customWidth="1" min="6" max="6" width="16.0"/>
  </cols>
  <sheetData>
    <row r="1">
      <c r="A1" s="2" t="s">
        <v>72</v>
      </c>
    </row>
    <row r="3">
      <c r="A3" s="5" t="s">
        <v>76</v>
      </c>
      <c r="B3" s="5" t="s">
        <v>77</v>
      </c>
      <c r="C3" s="5" t="s">
        <v>78</v>
      </c>
      <c r="D3" s="5" t="s">
        <v>79</v>
      </c>
      <c r="E3" s="5" t="s">
        <v>80</v>
      </c>
      <c r="F3" s="5" t="s">
        <v>69</v>
      </c>
    </row>
    <row r="4">
      <c r="A4" s="16">
        <v>-0.05</v>
      </c>
      <c r="B4" s="18">
        <f>S0_in*(1+A4)</f>
        <v>1.03075</v>
      </c>
      <c r="C4" s="15">
        <f>FC_AMT*B4</f>
        <v>4638375</v>
      </c>
      <c r="D4" s="15">
        <f>FC_AMT*F0_in</f>
        <v>4953352.5</v>
      </c>
      <c r="E4" s="15">
        <f>Hedge_Calculations!B8</f>
        <v>4953432.203</v>
      </c>
      <c r="F4" s="15">
        <f>FC_AMT*MAX(B4, K_PUT)-(FC_AMT*PREM_PUT)</f>
        <v>4770000</v>
      </c>
    </row>
    <row r="5">
      <c r="A5" s="16">
        <v>-0.04</v>
      </c>
      <c r="B5" s="18">
        <f>S0_in*(1+A5)</f>
        <v>1.0416</v>
      </c>
      <c r="C5" s="15">
        <f>FC_AMT*B5</f>
        <v>4687200</v>
      </c>
      <c r="D5" s="15">
        <f>FC_AMT*F0_in</f>
        <v>4953352.5</v>
      </c>
      <c r="E5" s="15">
        <f>Hedge_Calculations!B8</f>
        <v>4953432.203</v>
      </c>
      <c r="F5" s="15">
        <f>FC_AMT*MAX(B5, K_PUT)-(FC_AMT*PREM_PUT)</f>
        <v>4770000</v>
      </c>
    </row>
    <row r="6">
      <c r="A6" s="16">
        <v>-0.03</v>
      </c>
      <c r="B6" s="18">
        <f>S0_in*(1+A6)</f>
        <v>1.05245</v>
      </c>
      <c r="C6" s="15">
        <f>FC_AMT*B6</f>
        <v>4736025</v>
      </c>
      <c r="D6" s="15">
        <f>FC_AMT*F0_in</f>
        <v>4953352.5</v>
      </c>
      <c r="E6" s="15">
        <f>Hedge_Calculations!B8</f>
        <v>4953432.203</v>
      </c>
      <c r="F6" s="15">
        <f>FC_AMT*MAX(B6, K_PUT)-(FC_AMT*PREM_PUT)</f>
        <v>4770000</v>
      </c>
    </row>
    <row r="7">
      <c r="A7" s="16">
        <v>-0.02</v>
      </c>
      <c r="B7" s="18">
        <f>S0_in*(1+A7)</f>
        <v>1.0633</v>
      </c>
      <c r="C7" s="15">
        <f>FC_AMT*B7</f>
        <v>4784850</v>
      </c>
      <c r="D7" s="15">
        <f>FC_AMT*F0_in</f>
        <v>4953352.5</v>
      </c>
      <c r="E7" s="15">
        <f>Hedge_Calculations!B8</f>
        <v>4953432.203</v>
      </c>
      <c r="F7" s="15">
        <f>FC_AMT*MAX(B7, K_PUT)-(FC_AMT*PREM_PUT)</f>
        <v>4770000</v>
      </c>
    </row>
    <row r="8">
      <c r="A8" s="16">
        <v>-0.01</v>
      </c>
      <c r="B8" s="18">
        <f>S0_in*(1+A8)</f>
        <v>1.07415</v>
      </c>
      <c r="C8" s="15">
        <f>FC_AMT*B8</f>
        <v>4833675</v>
      </c>
      <c r="D8" s="15">
        <f>FC_AMT*F0_in</f>
        <v>4953352.5</v>
      </c>
      <c r="E8" s="15">
        <f>Hedge_Calculations!B8</f>
        <v>4953432.203</v>
      </c>
      <c r="F8" s="15">
        <f>FC_AMT*MAX(B8, K_PUT)-(FC_AMT*PREM_PUT)</f>
        <v>4770000</v>
      </c>
    </row>
    <row r="9">
      <c r="A9" s="16">
        <v>0.0</v>
      </c>
      <c r="B9" s="18">
        <f>S0_in*(1+A9)</f>
        <v>1.085</v>
      </c>
      <c r="C9" s="15">
        <f>FC_AMT*B9</f>
        <v>4882500</v>
      </c>
      <c r="D9" s="15">
        <f>FC_AMT*F0_in</f>
        <v>4953352.5</v>
      </c>
      <c r="E9" s="15">
        <f>Hedge_Calculations!B8</f>
        <v>4953432.203</v>
      </c>
      <c r="F9" s="15">
        <f>FC_AMT*MAX(B9, K_PUT)-(FC_AMT*PREM_PUT)</f>
        <v>4770000</v>
      </c>
    </row>
    <row r="10">
      <c r="A10" s="16">
        <v>0.01</v>
      </c>
      <c r="B10" s="18">
        <f>S0_in*(1+A10)</f>
        <v>1.09585</v>
      </c>
      <c r="C10" s="15">
        <f>FC_AMT*B10</f>
        <v>4931325</v>
      </c>
      <c r="D10" s="15">
        <f>FC_AMT*F0_in</f>
        <v>4953352.5</v>
      </c>
      <c r="E10" s="15">
        <f>Hedge_Calculations!B8</f>
        <v>4953432.203</v>
      </c>
      <c r="F10" s="15">
        <f>FC_AMT*MAX(B10, K_PUT)-(FC_AMT*PREM_PUT)</f>
        <v>4818825</v>
      </c>
    </row>
    <row r="11">
      <c r="A11" s="16">
        <v>0.02</v>
      </c>
      <c r="B11" s="18">
        <f>S0_in*(1+A11)</f>
        <v>1.1067</v>
      </c>
      <c r="C11" s="15">
        <f>FC_AMT*B11</f>
        <v>4980150</v>
      </c>
      <c r="D11" s="15">
        <f>FC_AMT*F0_in</f>
        <v>4953352.5</v>
      </c>
      <c r="E11" s="15">
        <f>Hedge_Calculations!B8</f>
        <v>4953432.203</v>
      </c>
      <c r="F11" s="15">
        <f>FC_AMT*MAX(B11, K_PUT)-(FC_AMT*PREM_PUT)</f>
        <v>4867650</v>
      </c>
    </row>
    <row r="12">
      <c r="A12" s="16">
        <v>0.03</v>
      </c>
      <c r="B12" s="18">
        <f>S0_in*(1+A12)</f>
        <v>1.11755</v>
      </c>
      <c r="C12" s="15">
        <f>FC_AMT*B12</f>
        <v>5028975</v>
      </c>
      <c r="D12" s="15">
        <f>FC_AMT*F0_in</f>
        <v>4953352.5</v>
      </c>
      <c r="E12" s="15">
        <f>Hedge_Calculations!B8</f>
        <v>4953432.203</v>
      </c>
      <c r="F12" s="15">
        <f>FC_AMT*MAX(B12, K_PUT)-(FC_AMT*PREM_PUT)</f>
        <v>4916475</v>
      </c>
    </row>
    <row r="13">
      <c r="A13" s="16">
        <v>0.04</v>
      </c>
      <c r="B13" s="18">
        <f>S0_in*(1+A13)</f>
        <v>1.1284</v>
      </c>
      <c r="C13" s="15">
        <f>FC_AMT*B13</f>
        <v>5077800</v>
      </c>
      <c r="D13" s="15">
        <f>FC_AMT*F0_in</f>
        <v>4953352.5</v>
      </c>
      <c r="E13" s="15">
        <f>Hedge_Calculations!B8</f>
        <v>4953432.203</v>
      </c>
      <c r="F13" s="15">
        <f>FC_AMT*MAX(B13, K_PUT)-(FC_AMT*PREM_PUT)</f>
        <v>4965300</v>
      </c>
    </row>
    <row r="14">
      <c r="A14" s="16">
        <v>0.05</v>
      </c>
      <c r="B14" s="18">
        <f>S0_in*(1+A14)</f>
        <v>1.13925</v>
      </c>
      <c r="C14" s="15">
        <f>FC_AMT*B14</f>
        <v>5126625</v>
      </c>
      <c r="D14" s="15">
        <f>FC_AMT*F0_in</f>
        <v>4953352.5</v>
      </c>
      <c r="E14" s="15">
        <f>Hedge_Calculations!B8</f>
        <v>4953432.203</v>
      </c>
      <c r="F14" s="15">
        <f>FC_AMT*MAX(B14, K_PUT)-(FC_AMT*PREM_PUT)</f>
        <v>5014125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38"/>
    <col customWidth="1" min="2" max="2" width="12.5"/>
    <col customWidth="1" min="3" max="3" width="20.63"/>
  </cols>
  <sheetData>
    <row r="1">
      <c r="A1" s="2" t="s">
        <v>70</v>
      </c>
    </row>
    <row r="3">
      <c r="A3" s="5" t="s">
        <v>71</v>
      </c>
      <c r="B3" s="5" t="s">
        <v>73</v>
      </c>
      <c r="C3" s="5" t="s">
        <v>74</v>
      </c>
    </row>
    <row r="4">
      <c r="A4" s="3" t="s">
        <v>75</v>
      </c>
      <c r="B4" s="17">
        <f>S0_in*(1+R_USD*T_DAYS/360)/(1+R_FC*T_DAYS/360)</f>
        <v>1.100762712</v>
      </c>
      <c r="C4" s="4" t="s">
        <v>81</v>
      </c>
    </row>
    <row r="5">
      <c r="A5" s="3" t="s">
        <v>82</v>
      </c>
      <c r="B5" s="19">
        <f>ABS(Hedge_Calculations!B8 - Hedge_Calculations!B5)</f>
        <v>79.70338983</v>
      </c>
      <c r="C5" s="4" t="s">
        <v>83</v>
      </c>
    </row>
    <row r="6">
      <c r="A6" s="3" t="s">
        <v>84</v>
      </c>
      <c r="B6" s="20" t="str">
        <f>IF(B5&lt;0.01, "PASS", "FAIL")</f>
        <v>FAIL</v>
      </c>
      <c r="C6" s="4" t="s">
        <v>85</v>
      </c>
    </row>
  </sheetData>
  <drawing r:id="rId1"/>
</worksheet>
</file>